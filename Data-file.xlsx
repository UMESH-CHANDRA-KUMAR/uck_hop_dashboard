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pccoin-my.sharepoint.com/personal/abhilashkaimal_ntpc_co_in/Documents/Patratu/Project Dashboard - Microsoft/"/>
    </mc:Choice>
  </mc:AlternateContent>
  <xr:revisionPtr revIDLastSave="42" documentId="8_{3CAE69A3-AE5B-4257-93BE-F3BFAEF5261B}" xr6:coauthVersionLast="47" xr6:coauthVersionMax="47" xr10:uidLastSave="{58E7B64C-8CFB-4D69-8C08-95AD06EFE38E}"/>
  <bookViews>
    <workbookView xWindow="-98" yWindow="-98" windowWidth="21795" windowHeight="12975" activeTab="2" xr2:uid="{8A8E2015-1165-48D9-8246-BE8999149D44}"/>
  </bookViews>
  <sheets>
    <sheet name="ACC 3" sheetId="1" r:id="rId1"/>
    <sheet name="Milestone" sheetId="2" r:id="rId2"/>
    <sheet name="Capex" sheetId="4" r:id="rId3"/>
    <sheet name="Manpowe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4" l="1"/>
  <c r="C10" i="3"/>
  <c r="D9" i="3"/>
  <c r="D10" i="3"/>
  <c r="B10" i="3"/>
  <c r="D8" i="3"/>
  <c r="D7" i="1"/>
  <c r="D3" i="3"/>
  <c r="D4" i="3"/>
  <c r="D5" i="3"/>
  <c r="D6" i="3"/>
  <c r="D7" i="3"/>
  <c r="D2" i="3"/>
  <c r="D6" i="1"/>
</calcChain>
</file>

<file path=xl/sharedStrings.xml><?xml version="1.0" encoding="utf-8"?>
<sst xmlns="http://schemas.openxmlformats.org/spreadsheetml/2006/main" count="48" uniqueCount="48">
  <si>
    <t xml:space="preserve">Milestone </t>
  </si>
  <si>
    <t>Target</t>
  </si>
  <si>
    <t>Boiler DHT</t>
  </si>
  <si>
    <t xml:space="preserve">Boiler NDHT </t>
  </si>
  <si>
    <t>TG Box up</t>
  </si>
  <si>
    <t>31.08.26</t>
  </si>
  <si>
    <t>TG Oil Flushing completion</t>
  </si>
  <si>
    <t>Boiler Light up</t>
  </si>
  <si>
    <t xml:space="preserve">Steam Blowing Completion </t>
  </si>
  <si>
    <t>Sync</t>
  </si>
  <si>
    <t>Full Load</t>
  </si>
  <si>
    <t>20.02.27</t>
  </si>
  <si>
    <t xml:space="preserve">Trial Operation </t>
  </si>
  <si>
    <t>25.02.27</t>
  </si>
  <si>
    <t>25.09.26</t>
  </si>
  <si>
    <t>31.10.26</t>
  </si>
  <si>
    <t>25.10.26</t>
  </si>
  <si>
    <t>30.11.26</t>
  </si>
  <si>
    <t>25.01.27</t>
  </si>
  <si>
    <t xml:space="preserve">Agency </t>
  </si>
  <si>
    <t>Required Manpower</t>
  </si>
  <si>
    <t>Available Manpower</t>
  </si>
  <si>
    <t>Shortfall</t>
  </si>
  <si>
    <t>Texcel- Boiler</t>
  </si>
  <si>
    <t>Texcel – Piping works</t>
  </si>
  <si>
    <t>A K Singhania</t>
  </si>
  <si>
    <t>ElectroMech</t>
  </si>
  <si>
    <t>Navnirman</t>
  </si>
  <si>
    <t>M/s Sriram</t>
  </si>
  <si>
    <t xml:space="preserve">Total </t>
  </si>
  <si>
    <t>Month </t>
  </si>
  <si>
    <t>Manpower deployed </t>
  </si>
  <si>
    <t>Erection tonnage </t>
  </si>
  <si>
    <t>Cumulative erection</t>
  </si>
  <si>
    <t>Mar’25</t>
  </si>
  <si>
    <t>Apr’25</t>
  </si>
  <si>
    <t>May’25</t>
  </si>
  <si>
    <t>Jun’25</t>
  </si>
  <si>
    <t>Jul'25</t>
  </si>
  <si>
    <t>Aug'25</t>
  </si>
  <si>
    <t>M/s Aplha - TG</t>
  </si>
  <si>
    <t>M/s Omega - MPH3</t>
  </si>
  <si>
    <t>14.08.26</t>
  </si>
  <si>
    <t>RE</t>
  </si>
  <si>
    <t>Capex till July end</t>
  </si>
  <si>
    <t>Description</t>
  </si>
  <si>
    <t>Fig in crs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</si>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</sst>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b/>
      <sz val="11"/>
      <color rgb="FFFFFFFF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A66AC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4F81BD"/>
      </top>
      <bottom style="medium">
        <color rgb="FF4F81BD"/>
      </bottom>
      <diagonal/>
    </border>
    <border>
      <left style="medium">
        <color indexed="64"/>
      </left>
      <right style="medium">
        <color indexed="64"/>
      </right>
      <top/>
      <bottom style="medium">
        <color rgb="FF4F81BD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4F81BD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06E9-25B6-4CBA-A38B-FADA62B5D706}">
  <dimension ref="A1:D7"/>
  <sheetViews>
    <sheetView workbookViewId="0">
      <selection activeCell="D7" sqref="D7"/>
    </sheetView>
  </sheetViews>
  <sheetFormatPr defaultRowHeight="14.25" x14ac:dyDescent="0.45"/>
  <cols>
    <col min="2" max="2" width="18.9296875" bestFit="1" customWidth="1"/>
    <col min="3" max="3" width="16.33203125" bestFit="1" customWidth="1"/>
    <col min="4" max="4" width="18.53125" bestFit="1" customWidth="1"/>
  </cols>
  <sheetData>
    <row r="1" spans="1:4" ht="14.65" thickBot="1" x14ac:dyDescent="0.5">
      <c r="A1" s="2" t="s">
        <v>30</v>
      </c>
      <c r="B1" s="13" t="s">
        <v>31</v>
      </c>
      <c r="C1" s="13" t="s">
        <v>32</v>
      </c>
      <c r="D1" s="13" t="s">
        <v>33</v>
      </c>
    </row>
    <row r="2" spans="1:4" ht="16.149999999999999" thickBot="1" x14ac:dyDescent="0.5">
      <c r="A2" s="14" t="s">
        <v>34</v>
      </c>
      <c r="B2" s="15">
        <v>15</v>
      </c>
      <c r="C2" s="15">
        <v>0</v>
      </c>
      <c r="D2" s="15">
        <v>0</v>
      </c>
    </row>
    <row r="3" spans="1:4" ht="16.149999999999999" thickBot="1" x14ac:dyDescent="0.5">
      <c r="A3" s="14" t="s">
        <v>35</v>
      </c>
      <c r="B3" s="15">
        <v>70</v>
      </c>
      <c r="C3" s="15">
        <v>112</v>
      </c>
      <c r="D3" s="15">
        <v>112</v>
      </c>
    </row>
    <row r="4" spans="1:4" ht="16.149999999999999" thickBot="1" x14ac:dyDescent="0.5">
      <c r="A4" s="14" t="s">
        <v>36</v>
      </c>
      <c r="B4" s="15">
        <v>230</v>
      </c>
      <c r="C4" s="15">
        <v>467</v>
      </c>
      <c r="D4" s="15">
        <v>579</v>
      </c>
    </row>
    <row r="5" spans="1:4" ht="16.149999999999999" thickBot="1" x14ac:dyDescent="0.5">
      <c r="A5" s="14" t="s">
        <v>37</v>
      </c>
      <c r="B5" s="15">
        <v>340</v>
      </c>
      <c r="C5" s="15">
        <v>1228</v>
      </c>
      <c r="D5" s="15">
        <v>1815</v>
      </c>
    </row>
    <row r="6" spans="1:4" ht="16.149999999999999" thickBot="1" x14ac:dyDescent="0.5">
      <c r="A6" s="16" t="s">
        <v>38</v>
      </c>
      <c r="B6" s="15">
        <v>320</v>
      </c>
      <c r="C6" s="15">
        <v>832</v>
      </c>
      <c r="D6" s="15">
        <f>C6+D5</f>
        <v>2647</v>
      </c>
    </row>
    <row r="7" spans="1:4" ht="15.75" x14ac:dyDescent="0.45">
      <c r="A7" s="17" t="s">
        <v>39</v>
      </c>
      <c r="B7" s="18">
        <v>268</v>
      </c>
      <c r="C7" s="18">
        <v>82</v>
      </c>
      <c r="D7">
        <f>D6+C7</f>
        <v>2729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535D-21FB-4B58-A8DD-F27CB281E1B3}">
  <dimension ref="A1:B10"/>
  <sheetViews>
    <sheetView workbookViewId="0">
      <selection activeCell="B3" sqref="B3"/>
    </sheetView>
  </sheetViews>
  <sheetFormatPr defaultRowHeight="14.25" x14ac:dyDescent="0.45"/>
  <cols>
    <col min="1" max="1" width="23.6640625" customWidth="1"/>
    <col min="2" max="2" width="60.06640625" customWidth="1"/>
  </cols>
  <sheetData>
    <row r="1" spans="1:2" ht="14.65" thickBot="1" x14ac:dyDescent="0.5">
      <c r="A1" s="1" t="s">
        <v>0</v>
      </c>
      <c r="B1" s="2" t="s">
        <v>1</v>
      </c>
    </row>
    <row r="2" spans="1:2" ht="15.4" thickBot="1" x14ac:dyDescent="0.5">
      <c r="A2" s="3" t="s">
        <v>2</v>
      </c>
      <c r="B2" s="4" t="s">
        <v>42</v>
      </c>
    </row>
    <row r="3" spans="1:2" ht="15.4" thickBot="1" x14ac:dyDescent="0.5">
      <c r="A3" s="5" t="s">
        <v>3</v>
      </c>
      <c r="B3" s="6" t="s">
        <v>14</v>
      </c>
    </row>
    <row r="4" spans="1:2" ht="15.4" thickBot="1" x14ac:dyDescent="0.5">
      <c r="A4" s="7" t="s">
        <v>4</v>
      </c>
      <c r="B4" s="4" t="s">
        <v>5</v>
      </c>
    </row>
    <row r="5" spans="1:2" ht="30.4" thickBot="1" x14ac:dyDescent="0.5">
      <c r="A5" s="5" t="s">
        <v>6</v>
      </c>
      <c r="B5" s="6" t="s">
        <v>15</v>
      </c>
    </row>
    <row r="6" spans="1:2" ht="15.4" thickBot="1" x14ac:dyDescent="0.5">
      <c r="A6" s="7" t="s">
        <v>7</v>
      </c>
      <c r="B6" s="4" t="s">
        <v>16</v>
      </c>
    </row>
    <row r="7" spans="1:2" ht="30.4" thickBot="1" x14ac:dyDescent="0.5">
      <c r="A7" s="5" t="s">
        <v>8</v>
      </c>
      <c r="B7" s="6" t="s">
        <v>17</v>
      </c>
    </row>
    <row r="8" spans="1:2" ht="15.4" thickBot="1" x14ac:dyDescent="0.5">
      <c r="A8" s="7" t="s">
        <v>9</v>
      </c>
      <c r="B8" s="4" t="s">
        <v>18</v>
      </c>
    </row>
    <row r="9" spans="1:2" ht="15.4" thickBot="1" x14ac:dyDescent="0.5">
      <c r="A9" s="5" t="s">
        <v>10</v>
      </c>
      <c r="B9" s="6" t="s">
        <v>11</v>
      </c>
    </row>
    <row r="10" spans="1:2" ht="15.4" thickBot="1" x14ac:dyDescent="0.5">
      <c r="A10" s="7" t="s">
        <v>12</v>
      </c>
      <c r="B10" s="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9115-1CD0-4934-BDF4-4937A2D87F36}">
  <dimension ref="A1:C3"/>
  <sheetViews>
    <sheetView tabSelected="1" workbookViewId="0">
      <selection activeCell="C3" sqref="C3"/>
    </sheetView>
  </sheetViews>
  <sheetFormatPr defaultRowHeight="14.25" x14ac:dyDescent="0.45"/>
  <cols>
    <col min="1" max="1" width="14.46484375" bestFit="1" customWidth="1"/>
  </cols>
  <sheetData>
    <row r="1" spans="1:3" x14ac:dyDescent="0.45">
      <c r="A1" t="s">
        <v>45</v>
      </c>
      <c r="B1" t="s">
        <v>46</v>
      </c>
      <c r="C1" t="s">
        <v>47</v>
      </c>
    </row>
    <row r="2" spans="1:3" x14ac:dyDescent="0.45">
      <c r="A2" t="s">
        <v>43</v>
      </c>
      <c r="B2">
        <v>1448.3</v>
      </c>
      <c r="C2" s="19">
        <v>1</v>
      </c>
    </row>
    <row r="3" spans="1:3" x14ac:dyDescent="0.45">
      <c r="A3" t="s">
        <v>44</v>
      </c>
      <c r="B3">
        <v>605.72</v>
      </c>
      <c r="C3" s="19">
        <f>B3/B2</f>
        <v>0.41822826762411108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ED7B-F217-445A-9C06-91034F503C5D}">
  <dimension ref="A1:D10"/>
  <sheetViews>
    <sheetView workbookViewId="0">
      <selection activeCell="D9" sqref="D9"/>
    </sheetView>
  </sheetViews>
  <sheetFormatPr defaultRowHeight="14.25" x14ac:dyDescent="0.45"/>
  <cols>
    <col min="1" max="1" width="21.1328125" bestFit="1" customWidth="1"/>
    <col min="2" max="3" width="19.46484375" bestFit="1" customWidth="1"/>
    <col min="4" max="4" width="8.59765625" bestFit="1" customWidth="1"/>
  </cols>
  <sheetData>
    <row r="1" spans="1:4" ht="14.65" thickBot="1" x14ac:dyDescent="0.5">
      <c r="A1" s="8" t="s">
        <v>19</v>
      </c>
      <c r="B1" s="9" t="s">
        <v>20</v>
      </c>
      <c r="C1" s="9" t="s">
        <v>21</v>
      </c>
      <c r="D1" s="9" t="s">
        <v>22</v>
      </c>
    </row>
    <row r="2" spans="1:4" ht="14.65" thickBot="1" x14ac:dyDescent="0.5">
      <c r="A2" s="10" t="s">
        <v>23</v>
      </c>
      <c r="B2" s="11">
        <v>1200</v>
      </c>
      <c r="C2" s="11">
        <v>850</v>
      </c>
      <c r="D2" s="11">
        <f>B2-C2</f>
        <v>350</v>
      </c>
    </row>
    <row r="3" spans="1:4" ht="14.65" thickBot="1" x14ac:dyDescent="0.5">
      <c r="A3" s="10" t="s">
        <v>24</v>
      </c>
      <c r="B3" s="11">
        <v>300</v>
      </c>
      <c r="C3" s="11">
        <v>200</v>
      </c>
      <c r="D3" s="11">
        <f t="shared" ref="D3:D9" si="0">B3-C3</f>
        <v>100</v>
      </c>
    </row>
    <row r="4" spans="1:4" ht="14.65" thickBot="1" x14ac:dyDescent="0.5">
      <c r="A4" s="10" t="s">
        <v>25</v>
      </c>
      <c r="B4" s="12">
        <v>350</v>
      </c>
      <c r="C4" s="12">
        <v>270</v>
      </c>
      <c r="D4" s="11">
        <f t="shared" si="0"/>
        <v>80</v>
      </c>
    </row>
    <row r="5" spans="1:4" ht="14.65" thickBot="1" x14ac:dyDescent="0.5">
      <c r="A5" s="10" t="s">
        <v>26</v>
      </c>
      <c r="B5" s="12">
        <v>250</v>
      </c>
      <c r="C5" s="12">
        <v>0</v>
      </c>
      <c r="D5" s="11">
        <f t="shared" si="0"/>
        <v>250</v>
      </c>
    </row>
    <row r="6" spans="1:4" ht="14.65" thickBot="1" x14ac:dyDescent="0.5">
      <c r="A6" s="10" t="s">
        <v>27</v>
      </c>
      <c r="B6" s="12">
        <v>400</v>
      </c>
      <c r="C6" s="12">
        <v>270</v>
      </c>
      <c r="D6" s="11">
        <f t="shared" si="0"/>
        <v>130</v>
      </c>
    </row>
    <row r="7" spans="1:4" ht="14.65" thickBot="1" x14ac:dyDescent="0.5">
      <c r="A7" s="10" t="s">
        <v>28</v>
      </c>
      <c r="B7" s="12">
        <v>250</v>
      </c>
      <c r="C7" s="12">
        <v>50</v>
      </c>
      <c r="D7" s="11">
        <f t="shared" si="0"/>
        <v>200</v>
      </c>
    </row>
    <row r="8" spans="1:4" ht="14.65" thickBot="1" x14ac:dyDescent="0.5">
      <c r="A8" s="10" t="s">
        <v>40</v>
      </c>
      <c r="B8" s="12">
        <v>150</v>
      </c>
      <c r="C8" s="12">
        <v>60</v>
      </c>
      <c r="D8" s="11">
        <f t="shared" si="0"/>
        <v>90</v>
      </c>
    </row>
    <row r="9" spans="1:4" ht="14.65" thickBot="1" x14ac:dyDescent="0.5">
      <c r="A9" s="10" t="s">
        <v>41</v>
      </c>
      <c r="B9" s="12">
        <v>100</v>
      </c>
      <c r="C9" s="12">
        <v>64</v>
      </c>
      <c r="D9" s="11">
        <f t="shared" si="0"/>
        <v>36</v>
      </c>
    </row>
    <row r="10" spans="1:4" ht="14.65" thickBot="1" x14ac:dyDescent="0.5">
      <c r="A10" s="10" t="s">
        <v>29</v>
      </c>
      <c r="B10" s="12">
        <f>SUM(B2:B9)</f>
        <v>3000</v>
      </c>
      <c r="C10" s="12">
        <f>SUM(C2:C9)</f>
        <v>1764</v>
      </c>
      <c r="D10" s="12">
        <f>SUM(D2:D9)</f>
        <v>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 3</vt:lpstr>
      <vt:lpstr>Milestone</vt:lpstr>
      <vt:lpstr>Capex</vt:lpstr>
      <vt:lpstr>Manpower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Kaimal</dc:creator>
  <cp:lastModifiedBy>Abhilash Kaimal</cp:lastModifiedBy>
  <dcterms:created xsi:type="dcterms:W3CDTF">2026-07-18T14:02:58Z</dcterms:created>
  <dcterms:modified xsi:type="dcterms:W3CDTF">2026-08-11T10:08:25Z</dcterms:modified>
</cp:coreProperties>
</file>