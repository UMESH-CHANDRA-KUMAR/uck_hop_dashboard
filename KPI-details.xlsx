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10" documentId="13_ncr:1_{29C74D10-F176-41A0-A003-C2CD4B9FEB0F}" xr6:coauthVersionLast="47" xr6:coauthVersionMax="47" xr10:uidLastSave="{92EC99FF-D191-47DB-A853-F8E5995711D6}"/>
  <bookViews>
    <workbookView xWindow="-98" yWindow="-98" windowWidth="21795" windowHeight="12975" activeTab="1" xr2:uid="{00000000-000D-0000-FFFF-FFFF00000000}"/>
  </bookViews>
  <sheets>
    <sheet name="Tonnage" sheetId="1" r:id="rId1"/>
    <sheet name="AugustTarg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D13" i="1"/>
  <c r="E13" i="1" s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<sst xmlns="http://schemas.openxmlformats.org/spreadsheetml/2006/main" count="43" uniqueCount="31">
  <si>
    <t>Unit</t>
  </si>
  <si>
    <t>Component</t>
  </si>
  <si>
    <t>Tonnage Completed</t>
  </si>
  <si>
    <t>Total Tonnage</t>
  </si>
  <si>
    <t>Percentage</t>
  </si>
  <si>
    <t>Unit 1</t>
  </si>
  <si>
    <t>Unit 2</t>
  </si>
  <si>
    <t>Unit 3</t>
  </si>
  <si>
    <t>SNo</t>
  </si>
  <si>
    <t>Target</t>
  </si>
  <si>
    <t>Boiler-1</t>
  </si>
  <si>
    <t>ESP- 1 &amp; Absorber</t>
  </si>
  <si>
    <t>Critical Piping U1</t>
  </si>
  <si>
    <t>ACC1</t>
  </si>
  <si>
    <t>MPH-1</t>
  </si>
  <si>
    <t>Boiler-2</t>
  </si>
  <si>
    <t>ESP-2</t>
  </si>
  <si>
    <t>Critical Piping U2</t>
  </si>
  <si>
    <t>ACC2</t>
  </si>
  <si>
    <t>MPH-2</t>
  </si>
  <si>
    <t xml:space="preserve">Boiler-3 </t>
  </si>
  <si>
    <t>Piping-3</t>
  </si>
  <si>
    <t>ESP-3 incl control room</t>
  </si>
  <si>
    <t>ACC3</t>
  </si>
  <si>
    <t>MPH-3</t>
  </si>
  <si>
    <t>1000MT erection in Unit 3 ACC</t>
  </si>
  <si>
    <t>60 P91/92 joints in Unit 3. July achievement was - 28</t>
  </si>
  <si>
    <t>Boiler DHT - 10.08.26</t>
  </si>
  <si>
    <t>1st HT Switchgear charging in Unit 3 - 14.08.26</t>
  </si>
  <si>
    <t>Completion of FD 3A/ PA 3A foundation - 30.08.26</t>
  </si>
  <si>
    <t>Start of Bottom ash hopper erection work - 17.08.26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</si>
</sst>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5A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wrapText="1" readingOrder="1"/>
    </xf>
    <xf numFmtId="164" fontId="0" fillId="0" borderId="0" xfId="1" applyNumberFormat="1" applyFont="1"/>
    <xf numFmtId="0" fontId="3" fillId="0" borderId="1" xfId="0" applyFont="1" applyBorder="1" applyAlignment="1">
      <alignment readingOrder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A2" sqref="A2:E16"/>
    </sheetView>
  </sheetViews>
  <sheetFormatPr defaultRowHeight="14.25" x14ac:dyDescent="0.45"/>
  <cols>
    <col min="1" max="1" width="12" customWidth="1"/>
    <col min="2" max="2" width="22" customWidth="1"/>
    <col min="3" max="3" width="18" customWidth="1"/>
    <col min="4" max="4" width="14" customWidth="1"/>
    <col min="5" max="5" width="1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5">
      <c r="A2" t="s">
        <v>5</v>
      </c>
      <c r="B2" s="2" t="s">
        <v>10</v>
      </c>
      <c r="C2" s="2">
        <v>58679</v>
      </c>
      <c r="D2" s="2">
        <v>59584</v>
      </c>
      <c r="E2" s="3">
        <f>C2/D2</f>
        <v>0.98481135875402792</v>
      </c>
    </row>
    <row r="3" spans="1:5" ht="15.75" x14ac:dyDescent="0.5">
      <c r="A3" t="s">
        <v>5</v>
      </c>
      <c r="B3" s="2" t="s">
        <v>11</v>
      </c>
      <c r="C3" s="2">
        <v>20251</v>
      </c>
      <c r="D3" s="2">
        <v>20879</v>
      </c>
      <c r="E3" s="3">
        <f t="shared" ref="E3:E16" si="0">C3/D3</f>
        <v>0.96992193112696967</v>
      </c>
    </row>
    <row r="4" spans="1:5" ht="15.75" x14ac:dyDescent="0.5">
      <c r="A4" t="s">
        <v>5</v>
      </c>
      <c r="B4" s="2" t="s">
        <v>12</v>
      </c>
      <c r="C4" s="4">
        <v>5159</v>
      </c>
      <c r="D4" s="2">
        <v>5159</v>
      </c>
      <c r="E4" s="3">
        <f t="shared" si="0"/>
        <v>1</v>
      </c>
    </row>
    <row r="5" spans="1:5" ht="15.75" x14ac:dyDescent="0.5">
      <c r="A5" t="s">
        <v>5</v>
      </c>
      <c r="B5" s="2" t="s">
        <v>13</v>
      </c>
      <c r="C5" s="4">
        <v>10800</v>
      </c>
      <c r="D5" s="2">
        <v>10800</v>
      </c>
      <c r="E5" s="3">
        <f t="shared" si="0"/>
        <v>1</v>
      </c>
    </row>
    <row r="6" spans="1:5" ht="15.75" x14ac:dyDescent="0.5">
      <c r="A6" t="s">
        <v>5</v>
      </c>
      <c r="B6" s="4" t="s">
        <v>14</v>
      </c>
      <c r="C6" s="2">
        <v>10518</v>
      </c>
      <c r="D6" s="2">
        <v>10518</v>
      </c>
      <c r="E6" s="3">
        <f t="shared" si="0"/>
        <v>1</v>
      </c>
    </row>
    <row r="7" spans="1:5" ht="15.75" x14ac:dyDescent="0.5">
      <c r="A7" t="s">
        <v>6</v>
      </c>
      <c r="B7" s="2" t="s">
        <v>15</v>
      </c>
      <c r="C7" s="2">
        <v>58417</v>
      </c>
      <c r="D7" s="2">
        <v>60168</v>
      </c>
      <c r="E7" s="3">
        <f t="shared" si="0"/>
        <v>0.9708981518415104</v>
      </c>
    </row>
    <row r="8" spans="1:5" ht="15.75" x14ac:dyDescent="0.5">
      <c r="A8" t="s">
        <v>6</v>
      </c>
      <c r="B8" s="2" t="s">
        <v>16</v>
      </c>
      <c r="C8" s="2">
        <v>17940</v>
      </c>
      <c r="D8" s="2">
        <v>17940</v>
      </c>
      <c r="E8" s="3">
        <f t="shared" si="0"/>
        <v>1</v>
      </c>
    </row>
    <row r="9" spans="1:5" ht="15.75" x14ac:dyDescent="0.5">
      <c r="A9" t="s">
        <v>6</v>
      </c>
      <c r="B9" s="2" t="s">
        <v>17</v>
      </c>
      <c r="C9" s="4">
        <v>5800</v>
      </c>
      <c r="D9" s="2">
        <v>5903</v>
      </c>
      <c r="E9" s="3">
        <f t="shared" si="0"/>
        <v>0.98255124512959513</v>
      </c>
    </row>
    <row r="10" spans="1:5" ht="15.75" x14ac:dyDescent="0.5">
      <c r="A10" t="s">
        <v>6</v>
      </c>
      <c r="B10" s="2" t="s">
        <v>18</v>
      </c>
      <c r="C10" s="4">
        <v>10244</v>
      </c>
      <c r="D10" s="2">
        <v>10820</v>
      </c>
      <c r="E10" s="3">
        <f t="shared" si="0"/>
        <v>0.94676524953789276</v>
      </c>
    </row>
    <row r="11" spans="1:5" ht="15.75" x14ac:dyDescent="0.5">
      <c r="A11" t="s">
        <v>6</v>
      </c>
      <c r="B11" s="4" t="s">
        <v>19</v>
      </c>
      <c r="C11" s="2">
        <v>13338</v>
      </c>
      <c r="D11" s="2">
        <v>13400</v>
      </c>
      <c r="E11" s="3">
        <f t="shared" si="0"/>
        <v>0.99537313432835817</v>
      </c>
    </row>
    <row r="12" spans="1:5" ht="15.75" x14ac:dyDescent="0.5">
      <c r="A12" t="s">
        <v>7</v>
      </c>
      <c r="B12" s="2" t="s">
        <v>20</v>
      </c>
      <c r="C12" s="2">
        <v>40824</v>
      </c>
      <c r="D12" s="2">
        <v>66363</v>
      </c>
      <c r="E12" s="3">
        <f t="shared" si="0"/>
        <v>0.61516206319786626</v>
      </c>
    </row>
    <row r="13" spans="1:5" ht="15.75" x14ac:dyDescent="0.5">
      <c r="A13" t="s">
        <v>7</v>
      </c>
      <c r="B13" s="2" t="s">
        <v>21</v>
      </c>
      <c r="C13" s="2">
        <v>1882</v>
      </c>
      <c r="D13" s="2">
        <f>4806.8+529</f>
        <v>5335.8</v>
      </c>
      <c r="E13" s="3">
        <f t="shared" si="0"/>
        <v>0.35271187075977362</v>
      </c>
    </row>
    <row r="14" spans="1:5" ht="15.75" x14ac:dyDescent="0.5">
      <c r="A14" t="s">
        <v>7</v>
      </c>
      <c r="B14" s="2" t="s">
        <v>22</v>
      </c>
      <c r="C14" s="2">
        <v>10394</v>
      </c>
      <c r="D14" s="2">
        <v>14724</v>
      </c>
      <c r="E14" s="3">
        <f t="shared" si="0"/>
        <v>0.70592230372181475</v>
      </c>
    </row>
    <row r="15" spans="1:5" ht="15.75" x14ac:dyDescent="0.5">
      <c r="A15" t="s">
        <v>7</v>
      </c>
      <c r="B15" s="2" t="s">
        <v>23</v>
      </c>
      <c r="C15" s="2">
        <v>2696</v>
      </c>
      <c r="D15" s="2">
        <v>10800</v>
      </c>
      <c r="E15" s="3">
        <f t="shared" si="0"/>
        <v>0.24962962962962962</v>
      </c>
    </row>
    <row r="16" spans="1:5" ht="15.75" x14ac:dyDescent="0.5">
      <c r="A16" t="s">
        <v>7</v>
      </c>
      <c r="B16" s="4" t="s">
        <v>24</v>
      </c>
      <c r="C16" s="2">
        <v>7599</v>
      </c>
      <c r="D16" s="2">
        <v>7600</v>
      </c>
      <c r="E16" s="3">
        <f t="shared" si="0"/>
        <v>0.99986842105263163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14" sqref="B14"/>
    </sheetView>
  </sheetViews>
  <sheetFormatPr defaultRowHeight="14.25" x14ac:dyDescent="0.45"/>
  <cols>
    <col min="1" max="1" width="8" customWidth="1"/>
    <col min="2" max="2" width="55" customWidth="1"/>
  </cols>
  <sheetData>
    <row r="1" spans="1:2" x14ac:dyDescent="0.45">
      <c r="A1" s="1" t="s">
        <v>8</v>
      </c>
      <c r="B1" s="1" t="s">
        <v>9</v>
      </c>
    </row>
    <row r="2" spans="1:2" x14ac:dyDescent="0.45">
      <c r="A2">
        <v>1</v>
      </c>
      <c r="B2" t="s">
        <v>27</v>
      </c>
    </row>
    <row r="3" spans="1:2" x14ac:dyDescent="0.45">
      <c r="A3">
        <v>2</v>
      </c>
      <c r="B3" t="s">
        <v>25</v>
      </c>
    </row>
    <row r="4" spans="1:2" x14ac:dyDescent="0.45">
      <c r="A4">
        <v>3</v>
      </c>
      <c r="B4" t="s">
        <v>28</v>
      </c>
    </row>
    <row r="5" spans="1:2" x14ac:dyDescent="0.45">
      <c r="A5">
        <v>4</v>
      </c>
      <c r="B5" t="s">
        <v>29</v>
      </c>
    </row>
    <row r="6" spans="1:2" x14ac:dyDescent="0.45">
      <c r="A6">
        <v>5</v>
      </c>
      <c r="B6" t="s">
        <v>30</v>
      </c>
    </row>
    <row r="7" spans="1:2" x14ac:dyDescent="0.45">
      <c r="A7">
        <v>6</v>
      </c>
      <c r="B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Tonnage</vt:lpstr>
      <vt:lpstr>AugustTargets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Kaimal</cp:lastModifiedBy>
  <dcterms:created xsi:type="dcterms:W3CDTF">2026-08-04T13:50:34Z</dcterms:created>
  <dcterms:modified xsi:type="dcterms:W3CDTF">2026-08-11T10:04:15Z</dcterms:modified>
</cp:coreProperties>
</file>